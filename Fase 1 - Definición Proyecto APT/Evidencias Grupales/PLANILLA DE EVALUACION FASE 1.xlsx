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yparedes/Documents/DUOC/CAPSTONE_006V/Proyectos/Josefa/"/>
    </mc:Choice>
  </mc:AlternateContent>
  <xr:revisionPtr revIDLastSave="0" documentId="13_ncr:1_{0229E12B-62E7-1947-9DDD-D376A0C74857}" xr6:coauthVersionLast="47" xr6:coauthVersionMax="47" xr10:uidLastSave="{00000000-0000-0000-0000-000000000000}"/>
  <bookViews>
    <workbookView xWindow="0" yWindow="500" windowWidth="2880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 l="1"/>
  <c r="E17" i="1" s="1"/>
  <c r="F17" i="1"/>
  <c r="G17" i="1" s="1"/>
  <c r="H17" i="1"/>
  <c r="I17" i="1" s="1"/>
  <c r="J17" i="1"/>
  <c r="K17" i="1" s="1"/>
  <c r="E15" i="1"/>
  <c r="G15" i="1"/>
  <c r="I15" i="1"/>
  <c r="J15" i="1"/>
  <c r="K15" i="1" s="1"/>
  <c r="F29" i="1"/>
  <c r="G29" i="1" s="1"/>
  <c r="H29" i="1"/>
  <c r="I29" i="1" s="1"/>
  <c r="J29" i="1"/>
  <c r="K29" i="1" s="1"/>
  <c r="F12" i="1"/>
  <c r="G12" i="1" s="1"/>
  <c r="H12" i="1"/>
  <c r="I12" i="1" s="1"/>
  <c r="J12" i="1"/>
  <c r="K12" i="1" s="1"/>
  <c r="J31" i="1"/>
  <c r="K31" i="1" s="1"/>
  <c r="H31" i="1"/>
  <c r="I31" i="1" s="1"/>
  <c r="F31" i="1"/>
  <c r="G31" i="1" s="1"/>
  <c r="D31" i="1"/>
  <c r="E31" i="1" s="1"/>
  <c r="B30" i="1"/>
  <c r="B29" i="1"/>
  <c r="D29" i="1"/>
  <c r="E29" i="1" s="1"/>
  <c r="B31" i="1"/>
  <c r="J30" i="1"/>
  <c r="K30" i="1" s="1"/>
  <c r="I30" i="1"/>
  <c r="F30" i="1"/>
  <c r="G30" i="1" s="1"/>
  <c r="E30" i="1"/>
  <c r="B13" i="1"/>
  <c r="B14" i="1"/>
  <c r="B15" i="1"/>
  <c r="B16" i="1"/>
  <c r="B17" i="1"/>
  <c r="B18" i="1"/>
  <c r="B19" i="1"/>
  <c r="B20" i="1"/>
  <c r="B12" i="1"/>
  <c r="B11" i="1"/>
  <c r="E32" i="1" l="1"/>
  <c r="I32" i="1"/>
  <c r="K32" i="1"/>
  <c r="G32" i="1"/>
  <c r="D11" i="1"/>
  <c r="E11" i="1" s="1"/>
  <c r="D12" i="1"/>
  <c r="E12" i="1" s="1"/>
  <c r="E13" i="1"/>
  <c r="D14" i="1"/>
  <c r="E14" i="1" s="1"/>
  <c r="E16" i="1"/>
  <c r="E20" i="1"/>
  <c r="F18" i="1"/>
  <c r="G18" i="1" s="1"/>
  <c r="G19" i="1"/>
  <c r="E19" i="1" l="1"/>
  <c r="H19" i="1"/>
  <c r="I19" i="1" s="1"/>
  <c r="J19" i="1"/>
  <c r="K19" i="1" s="1"/>
  <c r="F20" i="1"/>
  <c r="G20" i="1" s="1"/>
  <c r="I20" i="1"/>
  <c r="J20" i="1"/>
  <c r="K20" i="1" s="1"/>
  <c r="C25" i="1"/>
  <c r="J18" i="1"/>
  <c r="K18" i="1" s="1"/>
  <c r="H18" i="1"/>
  <c r="I18" i="1" s="1"/>
  <c r="D18" i="1"/>
  <c r="E18" i="1" s="1"/>
  <c r="J16" i="1"/>
  <c r="K16" i="1" s="1"/>
  <c r="I16" i="1"/>
  <c r="G16" i="1"/>
  <c r="J14" i="1"/>
  <c r="K14" i="1" s="1"/>
  <c r="H14" i="1"/>
  <c r="I14" i="1" s="1"/>
  <c r="F14" i="1"/>
  <c r="G14" i="1" s="1"/>
  <c r="J13" i="1"/>
  <c r="K13" i="1" s="1"/>
  <c r="H13" i="1"/>
  <c r="I13" i="1" s="1"/>
  <c r="G13" i="1"/>
  <c r="J11" i="1"/>
  <c r="K11" i="1" s="1"/>
  <c r="H11" i="1"/>
  <c r="I11" i="1" s="1"/>
  <c r="F11" i="1"/>
  <c r="G11" i="1" s="1"/>
  <c r="E21" i="1" l="1"/>
  <c r="G21" i="1"/>
  <c r="I21" i="1"/>
  <c r="C32" i="1" l="1"/>
  <c r="K21" i="1"/>
  <c r="C21" i="1" s="1"/>
  <c r="C22" i="1" s="1"/>
  <c r="C33" i="1" l="1"/>
  <c r="D4" i="1" s="1"/>
  <c r="C4" i="1"/>
  <c r="E4" i="1" l="1"/>
</calcChain>
</file>

<file path=xl/sharedStrings.xml><?xml version="1.0" encoding="utf-8"?>
<sst xmlns="http://schemas.openxmlformats.org/spreadsheetml/2006/main" count="131" uniqueCount="97">
  <si>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</si>
  <si>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</si>
  <si>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</si>
  <si>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</si>
  <si>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</si>
  <si>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</si>
  <si>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</si>
  <si>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</si>
  <si>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</si>
  <si>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</si>
  <si>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</si>
  <si>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</si>
  <si>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</si>
  <si>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</si>
  <si>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</si>
  <si>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</si>
  <si>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</si>
  <si>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</si>
  <si>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</si>
  <si>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</si>
  <si>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</si>
  <si>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</si>
  <si>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</si>
  <si>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</si>
  <si>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</si>
  <si>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</si>
  <si>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</si>
  <si>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</si>
  <si>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</si>
  <si>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</si>
  <si>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</si>
  <si>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</si>
  <si>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</si>
  <si>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</si>
  <si>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</si>
  <si>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</si>
  <si>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</si>
  <si>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</si>
  <si>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</si>
  <si>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</si>
  <si>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</si>
  <si>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</si>
  <si>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</si>
  <si>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</si>
  <si>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</si>
  <si>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</si>
  <si>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</si>
  <si>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</si>
  <si>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</si>
  <si>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</si>
  <si>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</si>
  <si>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</si>
  <si>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</si>
  <si>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</si>
  <si>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</si>
  <si>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</si>
  <si>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</si>
  <si>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</si>
  <si>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</si>
  <si>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</si>
  <si>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</si>
  <si>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</si>
  <si>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</si>
  <si>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</si>
  <si>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</si>
  <si>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</si>
  <si>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</si>
  <si>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</si>
  <si>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</si>
  <si>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</si>
  <si>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</si>
  <si>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</si>
  <si>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</si>
  <si>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</si>
  <si>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</si>
  <si>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</si>
  <si>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</si>
  <si>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</si>
  <si>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</si>
  <si>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</si>
  <si>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</si>
  <si>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</si>
  <si>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</si>
  <si>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</si>
  <si>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</si>
  <si>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</si>
  <si>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</si>
  <si>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</si>
  <si>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</si>
  <si>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</si>
  <si>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</si>
  <si>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</si>
  <si>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</si>
  <si>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</si>
  <si>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</si>
  <si>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Josefa Vallejos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</si>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</sst>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4"/>
  <sheetViews>
    <sheetView tabSelected="1" zoomScale="120" zoomScaleNormal="120" workbookViewId="0">
      <selection activeCell="H17" sqref="H17"/>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EVALUACION1!$C$22</f>
        <v>5</v>
      </c>
      <c r="D4" s="6">
        <f>$C$33</f>
        <v>5.3</v>
      </c>
      <c r="E4" s="43">
        <f>C4*C$2+D4*D$2</f>
        <v>5.0750000000000002</v>
      </c>
      <c r="G4" s="1"/>
    </row>
    <row r="9" spans="1:11" ht="19" outlineLevel="1" x14ac:dyDescent="0.2">
      <c r="A9" s="64" t="s">
        <v>3</v>
      </c>
      <c r="B9" s="14"/>
      <c r="C9" s="57" t="s">
        <v>4</v>
      </c>
      <c r="D9" s="58" t="s">
        <v>5</v>
      </c>
      <c r="E9" s="59"/>
      <c r="F9" s="59"/>
      <c r="G9" s="59"/>
      <c r="H9" s="59"/>
      <c r="I9" s="59"/>
      <c r="J9" s="59"/>
      <c r="K9" s="60"/>
    </row>
    <row r="10" spans="1:11" outlineLevel="1" x14ac:dyDescent="0.2">
      <c r="A10" s="62"/>
      <c r="B10" s="24" t="s">
        <v>6</v>
      </c>
      <c r="C10" s="50"/>
      <c r="D10" s="58" t="s">
        <v>7</v>
      </c>
      <c r="E10" s="60"/>
      <c r="F10" s="58" t="s">
        <v>8</v>
      </c>
      <c r="G10" s="60"/>
      <c r="H10" s="58" t="s">
        <v>9</v>
      </c>
      <c r="I10" s="60"/>
      <c r="J10" s="58" t="s">
        <v>10</v>
      </c>
      <c r="K10" s="60"/>
    </row>
    <row r="11" spans="1:11" ht="26" outlineLevel="1" x14ac:dyDescent="0.2">
      <c r="A11" s="65"/>
      <c r="B11" s="35" t="str">
        <f>RUBRICA!A5</f>
        <v>1. Describe brevemente en qué consiste el Proyecto APT, justificando su relevancia para el campo laboral de su carrera.</v>
      </c>
      <c r="C11" s="33" t="s">
        <v>7</v>
      </c>
      <c r="D11" s="16" t="str">
        <f t="shared" ref="D11:D14" si="0">IF($C11=CL,"X","")</f>
        <v>X</v>
      </c>
      <c r="E11" s="16">
        <f>IF(D11="X",100*0.1,"")</f>
        <v>10</v>
      </c>
      <c r="F11" s="16" t="str">
        <f t="shared" ref="F11:F14" si="1">IF($C11=L,"X","")</f>
        <v/>
      </c>
      <c r="G11" s="16" t="str">
        <f>IF(F11="X",60*0.1,"")</f>
        <v/>
      </c>
      <c r="H11" s="16" t="str">
        <f t="shared" ref="H11:H14" si="2">IF($C11=ML,"X","")</f>
        <v/>
      </c>
      <c r="I11" s="16" t="str">
        <f>IF(H11="X",30*0.1,"")</f>
        <v/>
      </c>
      <c r="J11" s="16" t="str">
        <f t="shared" ref="J11:J14" si="3">IF($C11=NL,"X","")</f>
        <v/>
      </c>
      <c r="K11" s="16" t="str">
        <f t="shared" ref="K11:K14" si="4">IF($J11="X",0,"")</f>
        <v/>
      </c>
    </row>
    <row r="12" spans="1:11" ht="26.5" customHeight="1" outlineLevel="1" x14ac:dyDescent="0.2">
      <c r="A12" s="65"/>
      <c r="B12" s="35" t="str">
        <f>RUBRICA!A6</f>
        <v>2. Relaciona el Proyecto APT con las competencias del perfil de egreso de su Plan de Estudio.</v>
      </c>
      <c r="C12" s="33" t="s">
        <v>7</v>
      </c>
      <c r="D12" s="16" t="str">
        <f t="shared" si="0"/>
        <v>X</v>
      </c>
      <c r="E12" s="16">
        <f t="shared" ref="E12" si="5">IF(D12="X",100*0.05,"")</f>
        <v>5</v>
      </c>
      <c r="F12" s="16" t="str">
        <f t="shared" si="1"/>
        <v/>
      </c>
      <c r="G12" s="16" t="str">
        <f t="shared" ref="G12" si="6">IF(F12="X",60*0.05,"")</f>
        <v/>
      </c>
      <c r="H12" s="16" t="str">
        <f t="shared" si="2"/>
        <v/>
      </c>
      <c r="I12" s="16" t="str">
        <f t="shared" ref="I12" si="7">IF(H12="X",30*0.05,"")</f>
        <v/>
      </c>
      <c r="J12" s="16" t="str">
        <f t="shared" si="3"/>
        <v/>
      </c>
      <c r="K12" s="16" t="str">
        <f t="shared" si="4"/>
        <v/>
      </c>
    </row>
    <row r="13" spans="1:11" outlineLevel="1" x14ac:dyDescent="0.2">
      <c r="A13" s="65"/>
      <c r="B13" s="35" t="str">
        <f>RUBRICA!A8</f>
        <v xml:space="preserve">4.  Argumenta por qué el proyecto es factible de realizarse en el marco de la asignatura. </v>
      </c>
      <c r="C13" s="33" t="s">
        <v>7</v>
      </c>
      <c r="D13" s="16"/>
      <c r="E13" s="16" t="str">
        <f t="shared" ref="E13:E19" si="8">IF(D13="X",100*0.05,"")</f>
        <v/>
      </c>
      <c r="F13" s="16" t="s">
        <v>96</v>
      </c>
      <c r="G13" s="16">
        <f t="shared" ref="G13:G19" si="9">IF(F13="X",60*0.05,"")</f>
        <v>3</v>
      </c>
      <c r="H13" s="16" t="str">
        <f t="shared" si="2"/>
        <v/>
      </c>
      <c r="I13" s="16" t="str">
        <f t="shared" ref="I13:I19" si="10">IF(H13="X",30*0.05,"")</f>
        <v/>
      </c>
      <c r="J13" s="16" t="str">
        <f t="shared" si="3"/>
        <v/>
      </c>
      <c r="K13" s="16" t="str">
        <f t="shared" si="4"/>
        <v/>
      </c>
    </row>
    <row r="14" spans="1:11" outlineLevel="1" x14ac:dyDescent="0.2">
      <c r="A14" s="65"/>
      <c r="B14" s="35" t="str">
        <f>RUBRICA!A9</f>
        <v xml:space="preserve">5. Formula objetivos claros, concisos y coherentes con la disciplina y la situación a abordar. </v>
      </c>
      <c r="C14" s="33" t="s">
        <v>7</v>
      </c>
      <c r="D14" s="16" t="str">
        <f t="shared" si="0"/>
        <v>X</v>
      </c>
      <c r="E14" s="16">
        <f>IF(D14="X",100*0.05,"")</f>
        <v>5</v>
      </c>
      <c r="F14" s="16" t="str">
        <f t="shared" si="1"/>
        <v/>
      </c>
      <c r="G14" s="16" t="str">
        <f>IF(F14="X",60*0.05,"")</f>
        <v/>
      </c>
      <c r="H14" s="16" t="str">
        <f t="shared" si="2"/>
        <v/>
      </c>
      <c r="I14" s="16" t="str">
        <f>IF(H14="X",30*0.05,"")</f>
        <v/>
      </c>
      <c r="J14" s="16" t="str">
        <f t="shared" si="3"/>
        <v/>
      </c>
      <c r="K14" s="16" t="str">
        <f t="shared" si="4"/>
        <v/>
      </c>
    </row>
    <row r="15" spans="1:11" ht="26" outlineLevel="1" x14ac:dyDescent="0.2">
      <c r="A15" s="65"/>
      <c r="B15" s="35" t="str">
        <f>RUBRICA!A10</f>
        <v>6. Propone una metodología de trabajo que permite alcanzar los objetivos propuestos y es pertinente con los requerimientos disciplinares.</v>
      </c>
      <c r="C15" s="33" t="s">
        <v>7</v>
      </c>
      <c r="D15" s="16"/>
      <c r="E15" s="16" t="str">
        <f t="shared" ref="E15" si="11">IF(D15="X",100*0.1,"")</f>
        <v/>
      </c>
      <c r="F15" s="16" t="s">
        <v>96</v>
      </c>
      <c r="G15" s="16">
        <f t="shared" ref="G15" si="12">IF(F15="X",60*0.1,"")</f>
        <v>6</v>
      </c>
      <c r="H15" s="16"/>
      <c r="I15" s="16" t="str">
        <f t="shared" ref="I15" si="13">IF(H15="X",30*0.1,"")</f>
        <v/>
      </c>
      <c r="J15" s="16" t="str">
        <f t="shared" ref="J15:J20" si="14">IF($C15=NL,"X","")</f>
        <v/>
      </c>
      <c r="K15" s="16" t="str">
        <f t="shared" ref="K15:K20" si="15">IF($J15="X",0,"")</f>
        <v/>
      </c>
    </row>
    <row r="16" spans="1:11" ht="26" outlineLevel="1" x14ac:dyDescent="0.2">
      <c r="A16" s="65"/>
      <c r="B16" s="35" t="str">
        <f>RUBRICA!A11</f>
        <v xml:space="preserve">7. Establece un plan de trabajo para su proyecto APT considerando los recursos, duración, facilitadores y obstaculizadores en el desarrollo de las actividades. </v>
      </c>
      <c r="C16" s="33" t="s">
        <v>7</v>
      </c>
      <c r="D16" s="16"/>
      <c r="E16" s="16" t="str">
        <f t="shared" ref="E16" si="16">IF(D16="X",100*0.1,"")</f>
        <v/>
      </c>
      <c r="F16" s="16" t="s">
        <v>96</v>
      </c>
      <c r="G16" s="16">
        <f t="shared" ref="G16" si="17">IF(F16="X",60*0.1,"")</f>
        <v>6</v>
      </c>
      <c r="H16" s="16"/>
      <c r="I16" s="16" t="str">
        <f t="shared" ref="I16" si="18">IF(H16="X",30*0.1,"")</f>
        <v/>
      </c>
      <c r="J16" s="16" t="str">
        <f t="shared" si="14"/>
        <v/>
      </c>
      <c r="K16" s="16" t="str">
        <f t="shared" si="15"/>
        <v/>
      </c>
    </row>
    <row r="17" spans="1:11" ht="26" outlineLevel="1" x14ac:dyDescent="0.2">
      <c r="A17" s="65"/>
      <c r="B17" s="35" t="str">
        <f>RUBRICA!A12</f>
        <v>8. Determina evidencias, justificando cómo estas dan cuenta del logro de las actividades del Proyecto APT.</v>
      </c>
      <c r="C17" s="33" t="s">
        <v>7</v>
      </c>
      <c r="D17" s="16" t="str">
        <f t="shared" ref="D17:D19" si="19">IF($C17=CL,"X","")</f>
        <v>X</v>
      </c>
      <c r="E17" s="16">
        <f>IF(D17="X",100*0.05,"")</f>
        <v>5</v>
      </c>
      <c r="F17" s="16" t="str">
        <f t="shared" ref="F15:F20" si="20">IF($C17=L,"X","")</f>
        <v/>
      </c>
      <c r="G17" s="16" t="str">
        <f t="shared" ref="G17" si="21">IF(F17="X",60*0.05,"")</f>
        <v/>
      </c>
      <c r="H17" s="16" t="str">
        <f t="shared" ref="H17:H19" si="22">IF($C17=ML,"X","")</f>
        <v/>
      </c>
      <c r="I17" s="16" t="str">
        <f t="shared" ref="I17" si="23">IF(H17="X",30*0.05,"")</f>
        <v/>
      </c>
      <c r="J17" s="16" t="str">
        <f t="shared" si="14"/>
        <v/>
      </c>
      <c r="K17" s="16" t="str">
        <f t="shared" si="15"/>
        <v/>
      </c>
    </row>
    <row r="18" spans="1:11" outlineLevel="1" x14ac:dyDescent="0.2">
      <c r="A18" s="65"/>
      <c r="B18" s="35" t="str">
        <f>RUBRICA!A13</f>
        <v xml:space="preserve">9. Utiliza reglas de redacción, ortografía (literal, puntual, acentual) y las normas para citas y referencias. </v>
      </c>
      <c r="C18" s="33" t="s">
        <v>7</v>
      </c>
      <c r="D18" s="16" t="str">
        <f t="shared" si="19"/>
        <v>X</v>
      </c>
      <c r="E18" s="16">
        <f>IF(D18="X",100*0.05,"")</f>
        <v>5</v>
      </c>
      <c r="F18" s="16" t="str">
        <f t="shared" si="20"/>
        <v/>
      </c>
      <c r="G18" s="16" t="str">
        <f t="shared" si="9"/>
        <v/>
      </c>
      <c r="H18" s="16" t="str">
        <f t="shared" si="22"/>
        <v/>
      </c>
      <c r="I18" s="16" t="str">
        <f t="shared" si="10"/>
        <v/>
      </c>
      <c r="J18" s="16" t="str">
        <f t="shared" si="14"/>
        <v/>
      </c>
      <c r="K18" s="16" t="str">
        <f t="shared" si="15"/>
        <v/>
      </c>
    </row>
    <row r="19" spans="1:11" ht="23" customHeight="1" outlineLevel="1" x14ac:dyDescent="0.2">
      <c r="A19" s="65"/>
      <c r="B19" s="35" t="str">
        <f>RUBRICA!A14</f>
        <v>10. Cumple completando el contenido del informe de presentación del proyecto de acuerdo con la plantilla entregada.</v>
      </c>
      <c r="C19" s="33" t="s">
        <v>7</v>
      </c>
      <c r="D19" s="16"/>
      <c r="E19" s="16" t="str">
        <f t="shared" si="8"/>
        <v/>
      </c>
      <c r="F19" s="16" t="s">
        <v>96</v>
      </c>
      <c r="G19" s="16">
        <f t="shared" si="9"/>
        <v>3</v>
      </c>
      <c r="H19" s="16" t="str">
        <f t="shared" si="22"/>
        <v/>
      </c>
      <c r="I19" s="16" t="str">
        <f t="shared" si="10"/>
        <v/>
      </c>
      <c r="J19" s="16" t="str">
        <f t="shared" si="14"/>
        <v/>
      </c>
      <c r="K19" s="16" t="str">
        <f t="shared" si="15"/>
        <v/>
      </c>
    </row>
    <row r="20" spans="1:11" ht="26" outlineLevel="1" x14ac:dyDescent="0.2">
      <c r="A20" s="65"/>
      <c r="B20" s="35" t="str">
        <f>RUBRICA!A16</f>
        <v>12. Desarrolla un plan de trabajo que permita del logro de los objetivos propuestos del proyecto de 
acuerdo a los tiempos para su desarrollo</v>
      </c>
      <c r="C20" s="33" t="s">
        <v>7</v>
      </c>
      <c r="D20" s="16"/>
      <c r="E20" s="16" t="str">
        <f>IF(D20="X",100*0.1,"")</f>
        <v/>
      </c>
      <c r="F20" s="16" t="str">
        <f t="shared" si="20"/>
        <v/>
      </c>
      <c r="G20" s="16" t="str">
        <f>IF(F20="X",60*0.1,"")</f>
        <v/>
      </c>
      <c r="H20" s="16" t="s">
        <v>96</v>
      </c>
      <c r="I20" s="16">
        <f>IF(H20="X",30*0.1,"")</f>
        <v>3</v>
      </c>
      <c r="J20" s="16" t="str">
        <f t="shared" si="14"/>
        <v/>
      </c>
      <c r="K20" s="16" t="str">
        <f t="shared" si="15"/>
        <v/>
      </c>
    </row>
    <row r="21" spans="1:11" ht="15.75" customHeight="1" outlineLevel="1" x14ac:dyDescent="0.25">
      <c r="A21" s="62"/>
      <c r="B21" s="34" t="s">
        <v>11</v>
      </c>
      <c r="C21" s="37">
        <f>E21+G21+I21+K21</f>
        <v>51</v>
      </c>
      <c r="D21" s="19"/>
      <c r="E21" s="19">
        <f>SUM(E11:E20)</f>
        <v>30</v>
      </c>
      <c r="F21" s="19"/>
      <c r="G21" s="19">
        <f>SUM(G11:G20)</f>
        <v>18</v>
      </c>
      <c r="H21" s="19"/>
      <c r="I21" s="19">
        <f>SUM(I11:I20)</f>
        <v>3</v>
      </c>
      <c r="J21" s="19"/>
      <c r="K21" s="19">
        <f>SUM(K11:K20)</f>
        <v>0</v>
      </c>
    </row>
    <row r="22" spans="1:11" ht="15.75" customHeight="1" outlineLevel="1" x14ac:dyDescent="0.25">
      <c r="A22" s="50"/>
      <c r="B22" s="36" t="s">
        <v>12</v>
      </c>
      <c r="C22" s="20">
        <f>VLOOKUP(C21,ESCALA_IEP!A2:B142,2,FALSE)</f>
        <v>5</v>
      </c>
    </row>
    <row r="23" spans="1:11" ht="15.75" customHeight="1" x14ac:dyDescent="0.2"/>
    <row r="24" spans="1:11" ht="15.75" customHeight="1" x14ac:dyDescent="0.2"/>
    <row r="25" spans="1:11" ht="15.75" customHeight="1" x14ac:dyDescent="0.2">
      <c r="A25" s="61" t="s">
        <v>13</v>
      </c>
      <c r="B25" s="49" t="s">
        <v>14</v>
      </c>
      <c r="C25" s="51" t="str">
        <f>$B$4</f>
        <v>Josefa Vallejos</v>
      </c>
      <c r="D25" s="52"/>
      <c r="E25" s="52"/>
      <c r="F25" s="52"/>
      <c r="G25" s="52"/>
      <c r="H25" s="52"/>
      <c r="I25" s="52"/>
      <c r="J25" s="52"/>
      <c r="K25" s="53"/>
    </row>
    <row r="26" spans="1:11" ht="15.75" customHeight="1" x14ac:dyDescent="0.2">
      <c r="A26" s="62"/>
      <c r="B26" s="50"/>
      <c r="C26" s="54"/>
      <c r="D26" s="55"/>
      <c r="E26" s="55"/>
      <c r="F26" s="55"/>
      <c r="G26" s="55"/>
      <c r="H26" s="55"/>
      <c r="I26" s="55"/>
      <c r="J26" s="55"/>
      <c r="K26" s="56"/>
    </row>
    <row r="27" spans="1:11" ht="15.75" customHeight="1" x14ac:dyDescent="0.2">
      <c r="A27" s="62"/>
      <c r="B27" s="14" t="s">
        <v>15</v>
      </c>
      <c r="C27" s="57" t="s">
        <v>4</v>
      </c>
      <c r="D27" s="58" t="s">
        <v>5</v>
      </c>
      <c r="E27" s="59"/>
      <c r="F27" s="59"/>
      <c r="G27" s="59"/>
      <c r="H27" s="59"/>
      <c r="I27" s="59"/>
      <c r="J27" s="59"/>
      <c r="K27" s="60"/>
    </row>
    <row r="28" spans="1:11" ht="15.75" customHeight="1" x14ac:dyDescent="0.2">
      <c r="A28" s="62"/>
      <c r="B28" s="15" t="s">
        <v>6</v>
      </c>
      <c r="C28" s="50"/>
      <c r="D28" s="58" t="s">
        <v>7</v>
      </c>
      <c r="E28" s="60"/>
      <c r="F28" s="58" t="s">
        <v>8</v>
      </c>
      <c r="G28" s="60"/>
      <c r="H28" s="58" t="s">
        <v>16</v>
      </c>
      <c r="I28" s="60"/>
      <c r="J28" s="58" t="s">
        <v>10</v>
      </c>
      <c r="K28" s="60"/>
    </row>
    <row r="29" spans="1:11" ht="24.5" customHeight="1" x14ac:dyDescent="0.2">
      <c r="A29" s="62"/>
      <c r="B29" s="35" t="str">
        <f>RUBRICA!A7</f>
        <v>3. Relaciona el Proyecto APT con sus intereses profesionales. *</v>
      </c>
      <c r="C29" s="33" t="s">
        <v>7</v>
      </c>
      <c r="D29" s="16" t="str">
        <f t="shared" ref="D29" si="24">IF($C29=CL,"X","")</f>
        <v>X</v>
      </c>
      <c r="E29" s="16">
        <f>IF(D29="X",100*0.1,"")</f>
        <v>10</v>
      </c>
      <c r="F29" s="16" t="str">
        <f t="shared" ref="F29:F30" si="25">IF($C29=L,"X","")</f>
        <v/>
      </c>
      <c r="G29" s="16" t="str">
        <f>IF(F29="X",60*0.1,"")</f>
        <v/>
      </c>
      <c r="H29" s="16" t="str">
        <f t="shared" ref="H29" si="26">IF($C29=ML,"X","")</f>
        <v/>
      </c>
      <c r="I29" s="16" t="str">
        <f>IF(H29="X",30*0.1,"")</f>
        <v/>
      </c>
      <c r="J29" s="16" t="str">
        <f t="shared" ref="J29:J30" si="27">IF($C29=NL,"X","")</f>
        <v/>
      </c>
      <c r="K29" s="16" t="str">
        <f t="shared" ref="K29:K30" si="28">IF($J29="X",0,"")</f>
        <v/>
      </c>
    </row>
    <row r="30" spans="1:11" ht="26" customHeight="1" x14ac:dyDescent="0.2">
      <c r="A30" s="62"/>
      <c r="B30" s="35" t="str">
        <f>RUBRICA!A15</f>
        <v>11. Expone el tema utilizando un lenguaje técnico disciplinar al presentar la propuesta y responde evidenciando un manejo de la información. *</v>
      </c>
      <c r="C30" s="33" t="s">
        <v>7</v>
      </c>
      <c r="D30" s="16"/>
      <c r="E30" s="16" t="str">
        <f>IF(D30="X",100*0.1,"")</f>
        <v/>
      </c>
      <c r="F30" s="16" t="str">
        <f t="shared" si="25"/>
        <v/>
      </c>
      <c r="G30" s="16" t="str">
        <f>IF(F30="X",60*0.1,"")</f>
        <v/>
      </c>
      <c r="H30" s="16" t="s">
        <v>96</v>
      </c>
      <c r="I30" s="16">
        <f>IF(H30="X",30*0.1,"")</f>
        <v>3</v>
      </c>
      <c r="J30" s="16" t="str">
        <f t="shared" si="27"/>
        <v/>
      </c>
      <c r="K30" s="16" t="str">
        <f t="shared" si="28"/>
        <v/>
      </c>
    </row>
    <row r="31" spans="1:11" x14ac:dyDescent="0.2">
      <c r="A31" s="62"/>
      <c r="B31" s="35" t="str">
        <f>RUBRICA!A17</f>
        <v>13. Colaboración y trabajo en equipo *</v>
      </c>
      <c r="C31" s="33" t="s">
        <v>7</v>
      </c>
      <c r="D31" s="16" t="str">
        <f>IF($C31=CL,"X","")</f>
        <v>X</v>
      </c>
      <c r="E31" s="16">
        <f>IF(D31="X",100*0.1,"")</f>
        <v>10</v>
      </c>
      <c r="F31" s="16" t="str">
        <f>IF($C31=L,"X","")</f>
        <v/>
      </c>
      <c r="G31" s="16" t="str">
        <f>IF(F31="X",60*0.1,"")</f>
        <v/>
      </c>
      <c r="H31" s="16" t="str">
        <f>IF($C31=ML,"X","")</f>
        <v/>
      </c>
      <c r="I31" s="16" t="str">
        <f>IF(H31="X",30*0.1,"")</f>
        <v/>
      </c>
      <c r="J31" s="16" t="str">
        <f>IF($C31=NL,"X","")</f>
        <v/>
      </c>
      <c r="K31" s="16" t="str">
        <f>IF($J31="X",0,"")</f>
        <v/>
      </c>
    </row>
    <row r="32" spans="1:11" ht="15.75" customHeight="1" x14ac:dyDescent="0.25">
      <c r="A32" s="62"/>
      <c r="B32" s="21" t="s">
        <v>17</v>
      </c>
      <c r="C32" s="18">
        <f>E32+G32+I32+K32</f>
        <v>23</v>
      </c>
      <c r="D32" s="19"/>
      <c r="E32" s="19">
        <f>SUM(E29:E31)</f>
        <v>20</v>
      </c>
      <c r="F32" s="19"/>
      <c r="G32" s="19">
        <f t="shared" ref="G32:K32" si="29">SUM(G29:G31)</f>
        <v>0</v>
      </c>
      <c r="H32" s="19"/>
      <c r="I32" s="19">
        <f t="shared" si="29"/>
        <v>3</v>
      </c>
      <c r="J32" s="19"/>
      <c r="K32" s="19">
        <f t="shared" si="29"/>
        <v>0</v>
      </c>
    </row>
    <row r="33" spans="1:3" ht="15.75" customHeight="1" x14ac:dyDescent="0.25">
      <c r="A33" s="50"/>
      <c r="B33" s="17" t="s">
        <v>12</v>
      </c>
      <c r="C33" s="20">
        <f>VLOOKUP(C32,ESCALA_TRAB_EQUIP!A2:B62,2,FALSE)</f>
        <v>5.3</v>
      </c>
    </row>
    <row r="34" spans="1:3" ht="15.75" customHeight="1" x14ac:dyDescent="0.25">
      <c r="B34" s="22"/>
      <c r="C34" s="23"/>
    </row>
    <row r="35" spans="1:3" ht="15.75" customHeight="1" x14ac:dyDescent="0.25">
      <c r="B35" s="22"/>
      <c r="C35" s="23"/>
    </row>
    <row r="36" spans="1:3" ht="15.75" customHeight="1" x14ac:dyDescent="0.2"/>
    <row r="37" spans="1:3" ht="15.75" customHeight="1" x14ac:dyDescent="0.2"/>
    <row r="38" spans="1:3" ht="15.75" customHeight="1" x14ac:dyDescent="0.2"/>
    <row r="39" spans="1:3" ht="15.75" customHeight="1" x14ac:dyDescent="0.2"/>
    <row r="40" spans="1:3" ht="15.75" customHeight="1" x14ac:dyDescent="0.2"/>
    <row r="41" spans="1:3" ht="15.75" customHeight="1" x14ac:dyDescent="0.2"/>
    <row r="42" spans="1:3" ht="15.75" customHeight="1" x14ac:dyDescent="0.2"/>
    <row r="43" spans="1:3" ht="15.75" customHeight="1" x14ac:dyDescent="0.2"/>
    <row r="44" spans="1:3" ht="15.75" customHeight="1" x14ac:dyDescent="0.2"/>
    <row r="45" spans="1:3" ht="15.75" customHeight="1" x14ac:dyDescent="0.2"/>
    <row r="46" spans="1:3" ht="15.75" customHeight="1" x14ac:dyDescent="0.2"/>
    <row r="47" spans="1:3" ht="15.75" customHeight="1" x14ac:dyDescent="0.2"/>
    <row r="48" spans="1:3"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sheetData>
  <mergeCells count="17">
    <mergeCell ref="H28:I28"/>
    <mergeCell ref="J28:K28"/>
    <mergeCell ref="A25:A33"/>
    <mergeCell ref="E2:E3"/>
    <mergeCell ref="C9:C10"/>
    <mergeCell ref="D10:E10"/>
    <mergeCell ref="D9:K9"/>
    <mergeCell ref="F10:G10"/>
    <mergeCell ref="H10:I10"/>
    <mergeCell ref="J10:K10"/>
    <mergeCell ref="A9:A22"/>
    <mergeCell ref="B25:B26"/>
    <mergeCell ref="C25:K26"/>
    <mergeCell ref="C27:C28"/>
    <mergeCell ref="D27:K27"/>
    <mergeCell ref="D28:E28"/>
    <mergeCell ref="F28:G28"/>
  </mergeCells>
  <conditionalFormatting sqref="C4:E4">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4"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C11:C20 C29:C31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YERKO PATRICIO PAREDES ORELLANA</cp:lastModifiedBy>
  <cp:revision/>
  <dcterms:created xsi:type="dcterms:W3CDTF">2023-08-07T04:08:01Z</dcterms:created>
  <dcterms:modified xsi:type="dcterms:W3CDTF">2026-09-10T23:50:46Z</dcterms:modified>
  <cp:category/>
  <cp:contentStatus/>
</cp:coreProperties>
</file>